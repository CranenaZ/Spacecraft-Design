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eilp\Downloads\"/>
    </mc:Choice>
  </mc:AlternateContent>
  <xr:revisionPtr revIDLastSave="0" documentId="13_ncr:1_{3D2E06CE-22BB-44A4-8DFC-A8BF40E24707}" xr6:coauthVersionLast="47" xr6:coauthVersionMax="47" xr10:uidLastSave="{00000000-0000-0000-0000-000000000000}"/>
  <bookViews>
    <workbookView xWindow="-108" yWindow="-108" windowWidth="23256" windowHeight="13176" xr2:uid="{32E22746-0477-4DA3-98E9-2C0C46B339A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1" l="1"/>
  <c r="P5" i="1"/>
  <c r="K5" i="1"/>
  <c r="K6" i="1" s="1"/>
  <c r="N5" i="1"/>
  <c r="M5" i="1"/>
  <c r="J5" i="1"/>
  <c r="J6" i="1" s="1"/>
  <c r="C5" i="1"/>
  <c r="C6" i="1" s="1"/>
  <c r="D5" i="1"/>
  <c r="D6" i="1" s="1"/>
  <c r="E5" i="1"/>
  <c r="E6" i="1" s="1"/>
  <c r="F5" i="1"/>
  <c r="F6" i="1" s="1"/>
  <c r="G5" i="1"/>
  <c r="G6" i="1" s="1"/>
  <c r="H5" i="1"/>
  <c r="H6" i="1" s="1"/>
  <c r="I5" i="1"/>
  <c r="I6" i="1" s="1"/>
  <c r="B5" i="1"/>
  <c r="B6" i="1" s="1"/>
  <c r="P6" i="1" a="1"/>
  <c r="N6" i="1" a="1"/>
  <c r="O6" i="1" a="1"/>
  <c r="M6" i="1" a="1"/>
  <c r="M6" i="1" l="1"/>
  <c r="P6" i="1"/>
  <c r="O6" i="1"/>
  <c r="N6" i="1"/>
  <c r="L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<sst xmlns="http://schemas.openxmlformats.org/spreadsheetml/2006/main" count="19" uniqueCount="19">
  <si>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INPUT HEX:</t>
  </si>
  <si>
    <t>Mag X</t>
  </si>
  <si>
    <t>Mag Y</t>
  </si>
  <si>
    <t>Mag Z</t>
  </si>
  <si>
    <t>Acc X</t>
  </si>
  <si>
    <t>Acc Y</t>
  </si>
  <si>
    <t>Acc Z</t>
  </si>
  <si>
    <t>Gyro X</t>
  </si>
  <si>
    <t>Gyro Y</t>
  </si>
  <si>
    <t>Gyro Z</t>
  </si>
  <si>
    <t>Hexadecimal</t>
  </si>
  <si>
    <t>Value</t>
  </si>
  <si>
    <t>Current</t>
  </si>
  <si>
    <t>Voltage</t>
  </si>
  <si>
    <t>Time</t>
  </si>
  <si>
    <t>Latitude</t>
  </si>
  <si>
    <t>Longitude</t>
  </si>
  <si>
    <t>Altitude</t>
  </si>
  <si>
    <t>63f9a70d809b8000008c5c35432738b0387de303ed1cdcb001bbb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</si>
</sst>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"/>
  </numFmts>
  <fonts count="5">
    <font>
      <sz val="11"/>
      <color theme="1"/>
      <name val="Aptos Narrow"/>
      <family val="2"/>
      <scheme val="minor"/>
    </font>
    <font>
      <sz val="11"/>
      <name val="Courier New"/>
      <family val="3"/>
    </font>
    <font>
      <sz val="11"/>
      <name val="Aptos Narrow"/>
      <family val="2"/>
      <scheme val="minor"/>
    </font>
    <font>
      <sz val="8"/>
      <color theme="1"/>
      <name val="Segoe UI"/>
      <family val="2"/>
    </font>
    <font>
      <sz val="8"/>
      <color rgb="FFDAE3E3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2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14698-0D14-42CF-913B-6E1684C3EEED}">
  <sheetPr codeName="Sheet1"/>
  <dimension ref="A1:P21"/>
  <sheetViews>
    <sheetView tabSelected="1" workbookViewId="0">
      <selection activeCell="E10" sqref="E10"/>
    </sheetView>
  </sheetViews>
  <sheetFormatPr defaultRowHeight="14.4"/>
  <cols>
    <col min="1" max="1" width="25.5546875" customWidth="1"/>
    <col min="11" max="11" width="9.109375" customWidth="1"/>
    <col min="12" max="12" width="11.109375" customWidth="1"/>
    <col min="13" max="13" width="21.44140625" customWidth="1"/>
    <col min="14" max="14" width="16.6640625" customWidth="1"/>
    <col min="15" max="15" width="9.5546875" bestFit="1" customWidth="1"/>
  </cols>
  <sheetData>
    <row r="1" spans="1:16">
      <c r="A1" t="s">
        <v>0</v>
      </c>
    </row>
    <row r="2" spans="1:16">
      <c r="A2" s="11" t="s">
        <v>18</v>
      </c>
      <c r="B2" s="2"/>
      <c r="C2" s="2"/>
      <c r="D2" s="2"/>
      <c r="E2" s="2"/>
      <c r="F2" s="2"/>
      <c r="G2" s="2"/>
      <c r="H2" s="2"/>
      <c r="I2" s="2"/>
      <c r="J2" s="2"/>
    </row>
    <row r="3" spans="1:16">
      <c r="A3" s="1"/>
      <c r="B3" s="2"/>
      <c r="C3" s="2"/>
      <c r="D3" s="2"/>
      <c r="E3" s="2"/>
      <c r="F3" s="2"/>
      <c r="G3" s="2"/>
      <c r="H3" s="2"/>
      <c r="I3" s="2"/>
      <c r="J3" s="2"/>
    </row>
    <row r="4" spans="1:16">
      <c r="A4" s="2"/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  <c r="H4" s="3" t="s">
        <v>7</v>
      </c>
      <c r="I4" s="3" t="s">
        <v>8</v>
      </c>
      <c r="J4" s="3" t="s">
        <v>9</v>
      </c>
      <c r="K4" s="3" t="s">
        <v>13</v>
      </c>
      <c r="L4" s="3" t="s">
        <v>12</v>
      </c>
      <c r="M4" s="3" t="s">
        <v>14</v>
      </c>
      <c r="N4" s="3" t="s">
        <v>15</v>
      </c>
      <c r="O4" s="3" t="s">
        <v>16</v>
      </c>
      <c r="P4" t="s">
        <v>17</v>
      </c>
    </row>
    <row r="5" spans="1:16">
      <c r="A5" s="2" t="s">
        <v>10</v>
      </c>
      <c r="B5" s="4" t="str">
        <f>MID($A$2, (COLUMN()-2)*2 + 1, 2)</f>
        <v>63</v>
      </c>
      <c r="C5" s="4" t="str">
        <f t="shared" ref="C5:I5" si="0">MID($A$2, (COLUMN()-2)*2 + 1, 2)</f>
        <v>f9</v>
      </c>
      <c r="D5" s="4" t="str">
        <f t="shared" si="0"/>
        <v>a7</v>
      </c>
      <c r="E5" s="4" t="str">
        <f t="shared" si="0"/>
        <v>0d</v>
      </c>
      <c r="F5" s="4" t="str">
        <f t="shared" si="0"/>
        <v>80</v>
      </c>
      <c r="G5" s="4" t="str">
        <f t="shared" si="0"/>
        <v>9b</v>
      </c>
      <c r="H5" s="4" t="str">
        <f t="shared" si="0"/>
        <v>80</v>
      </c>
      <c r="I5" s="4" t="str">
        <f t="shared" si="0"/>
        <v>00</v>
      </c>
      <c r="J5" s="4" t="str">
        <f>MID($A$2, (COLUMN()-2)*2 + 1, 2)</f>
        <v>00</v>
      </c>
      <c r="K5" s="10" t="str">
        <f>MID($A2, 19, 5)</f>
        <v>8c5c3</v>
      </c>
      <c r="L5" s="10"/>
      <c r="M5" s="7" t="str">
        <f>MID($A2, 24, 8)</f>
        <v>5432738b</v>
      </c>
      <c r="N5" s="7" t="str">
        <f>MID($A2, 32, 8)</f>
        <v>0387de30</v>
      </c>
      <c r="O5" s="7" t="str">
        <f>MID($A2, 40, 8)</f>
        <v>3ed1cdcb</v>
      </c>
      <c r="P5" s="7" t="str">
        <f>MID($A2, 48, 6)</f>
        <v>001bbb</v>
      </c>
    </row>
    <row r="6" spans="1:16">
      <c r="A6" s="2" t="s">
        <v>11</v>
      </c>
      <c r="B6" s="3">
        <f>IF(LEFT(DEC2BIN(HEX2DEC(B5), 8), 1) = "1",-1 * (BIN2DEC(MID(DEC2BIN(HEX2DEC(B5), 8), 2, 7)) / 3),BIN2DEC(MID(DEC2BIN(HEX2DEC(B5), 8), 2, 7)) / 3)</f>
        <v>33</v>
      </c>
      <c r="C6" s="3">
        <f t="shared" ref="C6:J6" si="1">IF(LEFT(DEC2BIN(HEX2DEC(C5), 8), 1) = "1",-1 * (BIN2DEC(MID(DEC2BIN(HEX2DEC(C5), 8), 2, 7)) / 3),BIN2DEC(MID(DEC2BIN(HEX2DEC(C5), 8), 2, 7)) / 3)</f>
        <v>-40.333333333333336</v>
      </c>
      <c r="D6" s="3">
        <f>IF(LEFT(DEC2BIN(HEX2DEC(D5), 8), 1) = "1",-1 * (BIN2DEC(MID(DEC2BIN(HEX2DEC(D5), 8), 2, 7)) / 3),BIN2DEC(MID(DEC2BIN(HEX2DEC(D5), 8), 2, 7)) / 3)</f>
        <v>-13</v>
      </c>
      <c r="E6" s="3">
        <f t="shared" si="1"/>
        <v>4.333333333333333</v>
      </c>
      <c r="F6" s="3">
        <f t="shared" si="1"/>
        <v>0</v>
      </c>
      <c r="G6" s="3">
        <f t="shared" si="1"/>
        <v>-9</v>
      </c>
      <c r="H6" s="3">
        <f t="shared" si="1"/>
        <v>0</v>
      </c>
      <c r="I6" s="3">
        <f t="shared" si="1"/>
        <v>0</v>
      </c>
      <c r="J6" s="3">
        <f t="shared" si="1"/>
        <v>0</v>
      </c>
      <c r="K6" s="3">
        <f>BIN2DEC(MID(TEXT(_xlfn.BASE(HEX2DEC(K5),2),"00000000000000000000"),1,4)) +
 BIN2DEC(MID(TEXT(_xlfn.BASE(HEX2DEC(K5),2),"00000000000000000000"),5,7))/100</f>
        <v>8.98</v>
      </c>
      <c r="L6" s="6">
        <f>BIN2DEC(MID(TEXT(_xlfn.BASE(HEX2DEC(K5),2),"00000000000000000000"),12,2)) + BIN2DEC(MID(TEXT(_xlfn.BASE(HEX2DEC(K5),2),"00000000000000000000"),14,7))/100</f>
        <v>3.64</v>
      </c>
      <c r="M6" s="8" cm="1">
        <f t="array" ref="M6">DecodeTime(M5)</f>
        <v>45785.301516203705</v>
      </c>
      <c r="N6" s="9" cm="1">
        <f t="array" ref="N6">DecodeCoord(N5)</f>
        <v>7.0515632000000004</v>
      </c>
      <c r="O6" s="9" cm="1">
        <f t="array" ref="O6">DecodeCoord(O5)</f>
        <v>125.5361099</v>
      </c>
      <c r="P6" s="7" cm="1">
        <f t="array" ref="P6">DecodeAlt(P5)</f>
        <v>55.59</v>
      </c>
    </row>
    <row r="7" spans="1:16">
      <c r="A7" s="2"/>
      <c r="G7" s="2"/>
      <c r="H7" s="2"/>
      <c r="I7" s="2"/>
      <c r="J7" s="2"/>
    </row>
    <row r="21" spans="2:2">
      <c r="B21" s="5"/>
    </row>
  </sheetData>
  <mergeCells count="1">
    <mergeCell ref="K5:L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0070A60A583C43BB3CD20F1482EACC" ma:contentTypeVersion="13" ma:contentTypeDescription="Create a new document." ma:contentTypeScope="" ma:versionID="39fb48b1fcdec303be05aa932c41e20a">
  <xsd:schema xmlns:xsd="http://www.w3.org/2001/XMLSchema" xmlns:xs="http://www.w3.org/2001/XMLSchema" xmlns:p="http://schemas.microsoft.com/office/2006/metadata/properties" xmlns:ns3="f1a79034-7c69-4a64-80bb-96145bccc960" xmlns:ns4="619a6196-21d9-4a39-8ef8-22a28ffdaeb4" targetNamespace="http://schemas.microsoft.com/office/2006/metadata/properties" ma:root="true" ma:fieldsID="702cfcbdec3e4c704b927b53849770f9" ns3:_="" ns4:_="">
    <xsd:import namespace="f1a79034-7c69-4a64-80bb-96145bccc960"/>
    <xsd:import namespace="619a6196-21d9-4a39-8ef8-22a28ffdaeb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_activity" minOccurs="0"/>
                <xsd:element ref="ns4:MediaServiceSearchProperties" minOccurs="0"/>
                <xsd:element ref="ns4:MediaServiceObjectDetectorVersions" minOccurs="0"/>
                <xsd:element ref="ns4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a79034-7c69-4a64-80bb-96145bccc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9a6196-21d9-4a39-8ef8-22a28ffdae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19a6196-21d9-4a39-8ef8-22a28ffdaeb4" xsi:nil="true"/>
  </documentManagement>
</p:properties>
</file>

<file path=customXml/itemProps1.xml><?xml version="1.0" encoding="utf-8"?>
<ds:datastoreItem xmlns:ds="http://schemas.openxmlformats.org/officeDocument/2006/customXml" ds:itemID="{CEDDC4C2-0D48-48CA-9BC0-26D6A6031C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a79034-7c69-4a64-80bb-96145bccc960"/>
    <ds:schemaRef ds:uri="619a6196-21d9-4a39-8ef8-22a28ffdaeb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D531D5-9621-48ED-9C2D-A064EA1C248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E30F54-C98E-41CB-BA46-2FDB2C46537B}">
  <ds:schemaRefs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f1a79034-7c69-4a64-80bb-96145bccc960"/>
    <ds:schemaRef ds:uri="http://schemas.microsoft.com/office/2006/documentManagement/types"/>
    <ds:schemaRef ds:uri="http://schemas.microsoft.com/office/infopath/2007/PartnerControls"/>
    <ds:schemaRef ds:uri="619a6196-21d9-4a39-8ef8-22a28ffdaeb4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 Paye</dc:creator>
  <cp:lastModifiedBy>Neil Paye</cp:lastModifiedBy>
  <dcterms:created xsi:type="dcterms:W3CDTF">2025-05-06T05:32:08Z</dcterms:created>
  <dcterms:modified xsi:type="dcterms:W3CDTF">2025-05-08T07:14:35Z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0x010100240070A60A583C43BB3CD20F1482EACC</vt:lpwstr>
  </property>
</Properties>
</file>